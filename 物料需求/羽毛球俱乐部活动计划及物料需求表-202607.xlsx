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160"/>
  </bookViews>
  <sheets>
    <sheet name="表1-活动计划表" sheetId="1" r:id="rId1"/>
    <sheet name="表2-物料需求表" sheetId="1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<sst xmlns="http://schemas.openxmlformats.org/spreadsheetml/2006/main" count="43" uniqueCount="39">
  <si>
    <t>工会俱乐部活动计划表</t>
  </si>
  <si>
    <t>俱乐部名称</t>
  </si>
  <si>
    <t>部长</t>
  </si>
  <si>
    <t>活动地点</t>
  </si>
  <si>
    <t>每周固定组织时间</t>
  </si>
  <si>
    <t>月度频率</t>
  </si>
  <si>
    <t>单次人数</t>
  </si>
  <si>
    <t>单场成本明细</t>
  </si>
  <si>
    <t>单场成本合计</t>
  </si>
  <si>
    <t>场馆联系人、联系方式</t>
  </si>
  <si>
    <t>部长签名确认</t>
  </si>
  <si>
    <t>羽毛球</t>
  </si>
  <si>
    <t>严勇文</t>
  </si>
  <si>
    <t>科技园文体中心</t>
  </si>
  <si>
    <t>周一晚8点</t>
  </si>
  <si>
    <t>场地费：180*9=1620 （180是单个场地2小时费用，一共9个场地）
羽毛球费：230*4=920 （单桶 红超 羽毛球价格约为230，存在价格浮动。一共需要5桶）
水费：1.5*72=108 （朴朴渠道购水）</t>
  </si>
  <si>
    <t>物料采购申请表</t>
  </si>
  <si>
    <t>俱乐部：</t>
  </si>
  <si>
    <t>所属办公区：</t>
  </si>
  <si>
    <t>深圳南山</t>
  </si>
  <si>
    <t>申请人：</t>
  </si>
  <si>
    <t>电话：</t>
  </si>
  <si>
    <t>序号</t>
  </si>
  <si>
    <t>需采购物品名称</t>
  </si>
  <si>
    <t>物品要求</t>
  </si>
  <si>
    <t>数量</t>
  </si>
  <si>
    <t>单价</t>
  </si>
  <si>
    <t>总额</t>
  </si>
  <si>
    <t>物品采购渠道链接：
淘宝、京东链接等</t>
  </si>
  <si>
    <t>超牌（红超）</t>
  </si>
  <si>
    <t>【京东】https://3.cn/-2IzpE2U?jkl=@F5ozl4ZC2w@ MF5681 「超牌牌红超鹅羽毛球专业比赛刀翎三拼软木耐打稳定12只装77速」
点击链接直接打开 或者复制文案打开京东</t>
  </si>
  <si>
    <t>本月申请总金额：4708</t>
  </si>
  <si>
    <t>使用时间/周期：</t>
  </si>
  <si>
    <t>1个月</t>
  </si>
  <si>
    <t>期望送达日期：</t>
  </si>
  <si>
    <t>7月初</t>
  </si>
  <si>
    <t>收取人快递信息：</t>
  </si>
  <si>
    <t>深圳市南山区嘉联支付大厦20F，严勇文，18620300840</t>
  </si>
  <si>
    <t>其他备注：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</si>
</sst>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b/>
      <sz val="11"/>
      <color theme="1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微软雅黑"/>
      <charset val="134"/>
    </font>
    <font>
      <b/>
      <sz val="14"/>
      <color theme="1"/>
      <name val="微软雅黑"/>
      <charset val="134"/>
    </font>
    <font>
      <b/>
      <sz val="12"/>
      <color theme="1"/>
      <name val="微软雅黑"/>
      <charset val="134"/>
    </font>
    <font>
      <sz val="10.5"/>
      <color theme="1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justify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49" fontId="6" fillId="0" borderId="1" xfId="0" applyNumberFormat="1" applyFont="1" applyBorder="1" applyAlignment="1">
      <alignment horizontal="justify" vertical="center" wrapText="1"/>
    </xf>
    <xf numFmtId="0" fontId="6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zoomScale="85" zoomScaleNormal="85" workbookViewId="0">
      <selection activeCell="G15" sqref="G15"/>
    </sheetView>
  </sheetViews>
  <sheetFormatPr defaultColWidth="8.66964285714286" defaultRowHeight="16.8" outlineLevelRow="3"/>
  <cols>
    <col min="1" max="1" width="17.9107142857143" style="4" customWidth="1"/>
    <col min="2" max="2" width="10.8928571428571" style="4" customWidth="1"/>
    <col min="3" max="3" width="31.75" style="4" customWidth="1"/>
    <col min="4" max="4" width="47.5803571428571" style="4" customWidth="1"/>
    <col min="5" max="5" width="11.5535714285714" style="4" customWidth="1"/>
    <col min="6" max="6" width="10.6696428571429" style="4" customWidth="1"/>
    <col min="7" max="7" width="37.5535714285714" style="4" customWidth="1"/>
    <col min="8" max="8" width="22.8660714285714" style="4" customWidth="1"/>
    <col min="9" max="9" width="26.7767857142857" style="4" customWidth="1"/>
    <col min="10" max="10" width="16.3303571428571" style="4" customWidth="1"/>
    <col min="11" max="16384" width="8.66964285714286" style="4"/>
  </cols>
  <sheetData>
    <row r="1" ht="20.4" customHeight="1" spans="1:10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 ht="18" spans="1:10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</row>
    <row r="3" ht="94" spans="1:10">
      <c r="A3" s="7" t="s">
        <v>11</v>
      </c>
      <c r="B3" s="8" t="s">
        <v>12</v>
      </c>
      <c r="C3" s="7" t="s">
        <v>13</v>
      </c>
      <c r="D3" s="7" t="s">
        <v>14</v>
      </c>
      <c r="E3" s="7">
        <v>4</v>
      </c>
      <c r="F3" s="7">
        <v>66</v>
      </c>
      <c r="G3" s="7" t="s">
        <v>15</v>
      </c>
      <c r="H3" s="9">
        <f>1620+920+108</f>
        <v>2648</v>
      </c>
      <c r="I3" s="10">
        <v>86968366</v>
      </c>
      <c r="J3" s="7" t="s">
        <v>12</v>
      </c>
    </row>
    <row r="4" ht="46.8" customHeight="1" spans="1:10">
      <c r="A4" s="7"/>
      <c r="B4" s="8"/>
      <c r="C4" s="7"/>
      <c r="D4" s="7"/>
      <c r="E4" s="7"/>
      <c r="F4" s="7"/>
      <c r="G4" s="7"/>
      <c r="H4" s="11"/>
      <c r="I4" s="7"/>
      <c r="J4" s="7"/>
    </row>
  </sheetData>
  <mergeCells count="1">
    <mergeCell ref="A1:J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O8" sqref="O8"/>
    </sheetView>
  </sheetViews>
  <sheetFormatPr defaultColWidth="9" defaultRowHeight="16.8" outlineLevelCol="6"/>
  <cols>
    <col min="2" max="2" width="16.6696428571429" customWidth="1"/>
    <col min="3" max="3" width="17.3303571428571" customWidth="1"/>
    <col min="5" max="5" width="16.1071428571429" customWidth="1"/>
    <col min="7" max="7" width="24.3303571428571" customWidth="1"/>
  </cols>
  <sheetData>
    <row r="1" ht="17.7" customHeight="1" spans="1:7">
      <c r="A1" s="1" t="s">
        <v>16</v>
      </c>
      <c r="B1" s="1"/>
      <c r="C1" s="1"/>
      <c r="D1" s="1"/>
      <c r="E1" s="1"/>
      <c r="F1" s="1"/>
      <c r="G1" s="1"/>
    </row>
    <row r="2" ht="17.1" customHeight="1" spans="1:7">
      <c r="A2" s="2" t="s">
        <v>17</v>
      </c>
      <c r="B2" s="2"/>
      <c r="C2" s="2" t="s">
        <v>11</v>
      </c>
      <c r="D2" s="2"/>
      <c r="E2" s="2" t="s">
        <v>18</v>
      </c>
      <c r="F2" s="2" t="s">
        <v>19</v>
      </c>
      <c r="G2" s="2"/>
    </row>
    <row r="3" ht="17.1" customHeight="1" spans="1:7">
      <c r="A3" s="2" t="s">
        <v>20</v>
      </c>
      <c r="B3" s="2"/>
      <c r="C3" s="2" t="s">
        <v>12</v>
      </c>
      <c r="D3" s="2"/>
      <c r="E3" s="2" t="s">
        <v>21</v>
      </c>
      <c r="F3" s="2">
        <v>18620300840</v>
      </c>
      <c r="G3" s="2"/>
    </row>
    <row r="4" ht="34" spans="1:7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</row>
    <row r="5" ht="135" spans="1:7">
      <c r="A5" s="2">
        <v>1</v>
      </c>
      <c r="B5" s="3" t="s">
        <v>11</v>
      </c>
      <c r="C5" s="3" t="s">
        <v>29</v>
      </c>
      <c r="D5" s="3">
        <v>20</v>
      </c>
      <c r="E5" s="3">
        <v>230</v>
      </c>
      <c r="F5" s="3">
        <f>D5*E5</f>
        <v>4600</v>
      </c>
      <c r="G5" s="3" t="s">
        <v>30</v>
      </c>
    </row>
    <row r="6" spans="1:7">
      <c r="A6" s="2">
        <v>2</v>
      </c>
      <c r="B6" s="3"/>
      <c r="C6" s="3"/>
      <c r="D6" s="3"/>
      <c r="E6" s="3"/>
      <c r="F6" s="3"/>
      <c r="G6" s="3"/>
    </row>
    <row r="7" spans="1:7">
      <c r="A7" s="2">
        <v>3</v>
      </c>
      <c r="B7" s="3"/>
      <c r="C7" s="3"/>
      <c r="D7" s="3"/>
      <c r="E7" s="3"/>
      <c r="F7" s="3"/>
      <c r="G7" s="3"/>
    </row>
    <row r="8" spans="1:7">
      <c r="A8" s="2">
        <v>4</v>
      </c>
      <c r="B8" s="3"/>
      <c r="C8" s="3"/>
      <c r="D8" s="3"/>
      <c r="E8" s="3"/>
      <c r="F8" s="3"/>
      <c r="G8" s="3"/>
    </row>
    <row r="9" spans="1:7">
      <c r="A9" s="2">
        <v>5</v>
      </c>
      <c r="B9" s="3"/>
      <c r="C9" s="3"/>
      <c r="D9" s="3"/>
      <c r="E9" s="3"/>
      <c r="F9" s="3"/>
      <c r="G9" s="3"/>
    </row>
    <row r="10" ht="17.1" customHeight="1" spans="1:7">
      <c r="A10" s="2" t="s">
        <v>31</v>
      </c>
      <c r="B10" s="2"/>
      <c r="C10" s="2"/>
      <c r="D10" s="2"/>
      <c r="E10" s="2"/>
      <c r="F10" s="3"/>
      <c r="G10" s="3"/>
    </row>
    <row r="11" ht="17.1" customHeight="1" spans="1:7">
      <c r="A11" s="2" t="s">
        <v>32</v>
      </c>
      <c r="B11" s="2"/>
      <c r="C11" s="2" t="s">
        <v>33</v>
      </c>
      <c r="D11" s="2"/>
      <c r="E11" s="3" t="s">
        <v>34</v>
      </c>
      <c r="F11" s="2" t="s">
        <v>35</v>
      </c>
      <c r="G11" s="2"/>
    </row>
    <row r="12" ht="17.1" customHeight="1" spans="1:7">
      <c r="A12" s="2" t="s">
        <v>36</v>
      </c>
      <c r="B12" s="2"/>
      <c r="C12" s="3" t="s">
        <v>37</v>
      </c>
      <c r="D12" s="3"/>
      <c r="E12" s="3"/>
      <c r="F12" s="3"/>
      <c r="G12" s="3"/>
    </row>
    <row r="13" spans="1:7">
      <c r="A13" s="2" t="s">
        <v>38</v>
      </c>
      <c r="B13" s="2"/>
      <c r="C13" s="3"/>
      <c r="D13" s="3"/>
      <c r="E13" s="3"/>
      <c r="F13" s="3"/>
      <c r="G13" s="3"/>
    </row>
  </sheetData>
  <mergeCells count="15">
    <mergeCell ref="A1:G1"/>
    <mergeCell ref="A2:B2"/>
    <mergeCell ref="C2:D2"/>
    <mergeCell ref="F2:G2"/>
    <mergeCell ref="A3:B3"/>
    <mergeCell ref="C3:D3"/>
    <mergeCell ref="F3:G3"/>
    <mergeCell ref="A10:E10"/>
    <mergeCell ref="A11:B11"/>
    <mergeCell ref="C11:D11"/>
    <mergeCell ref="F11:G11"/>
    <mergeCell ref="A12:B12"/>
    <mergeCell ref="C12:G12"/>
    <mergeCell ref="A13:B13"/>
    <mergeCell ref="C13:G1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PAIG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表1-活动计划表</vt:lpstr>
      <vt:lpstr>表2-物料需求表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yanyongwen712</cp:lastModifiedBy>
  <dcterms:created xsi:type="dcterms:W3CDTF">2020-05-29T09:40:00Z</dcterms:created>
  <dcterms:modified xsi:type="dcterms:W3CDTF">2026-06-26T17:47:36Z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FE27763960BCA5A2B84A3E6A017CFEB0_43</vt:lpwstr>
  </property>
  <property fmtid="{D5CDD505-2E9C-101B-9397-08002B2CF9AE}" pid="3" name="KSOProductBuildVer">
    <vt:lpwstr>2052-12.1.24703.24703</vt:lpwstr>
  </property>
  <property fmtid="{D5CDD505-2E9C-101B-9397-08002B2CF9AE}" pid="4" name="CalculationRule">
    <vt:i4>0</vt:i4>
  </property>
</Properties>
</file>